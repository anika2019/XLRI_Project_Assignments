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ivameducationnet-my.sharepoint.com/personal/akyadav_shivameducation_net/Documents/Documents/AJIT_YADAV/XLRI/DVADM/Revision_For_End_Term/NormalDistribution/"/>
    </mc:Choice>
  </mc:AlternateContent>
  <xr:revisionPtr revIDLastSave="129" documentId="8_{022F2E6C-FCE5-4023-9CFB-FBC8CB0B00EB}" xr6:coauthVersionLast="47" xr6:coauthVersionMax="47" xr10:uidLastSave="{FD617F3D-67A3-488C-89D9-B6A7E805DE15}"/>
  <bookViews>
    <workbookView xWindow="-108" yWindow="-108" windowWidth="23256" windowHeight="12456" activeTab="3" xr2:uid="{88071EF7-4F76-477D-8314-04F3CBD3E056}"/>
  </bookViews>
  <sheets>
    <sheet name="Sheet1" sheetId="1" r:id="rId1"/>
    <sheet name="confidence_interval" sheetId="2" r:id="rId2"/>
    <sheet name="for_C.I._sample_caselet_4_" sheetId="3" r:id="rId3"/>
    <sheet name="Hypothesis_Test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3" l="1"/>
  <c r="N25" i="3"/>
  <c r="L25" i="3"/>
  <c r="M24" i="3"/>
  <c r="N24" i="3"/>
  <c r="L24" i="3"/>
  <c r="M23" i="3"/>
  <c r="N23" i="3"/>
  <c r="L23" i="3"/>
  <c r="N20" i="3"/>
  <c r="N19" i="3"/>
  <c r="M20" i="3"/>
  <c r="M19" i="3"/>
  <c r="L20" i="3"/>
  <c r="L19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3" i="3"/>
  <c r="B19" i="2"/>
  <c r="B18" i="2"/>
  <c r="B17" i="2"/>
  <c r="B9" i="2"/>
  <c r="B8" i="2"/>
  <c r="B7" i="2"/>
  <c r="B5" i="1"/>
</calcChain>
</file>

<file path=xl/sharedStrings.xml><?xml version="1.0" encoding="utf-8"?>
<sst xmlns="http://schemas.openxmlformats.org/spreadsheetml/2006/main" count="52" uniqueCount="37">
  <si>
    <t>s.d.</t>
  </si>
  <si>
    <t>n</t>
  </si>
  <si>
    <t>pop mean</t>
  </si>
  <si>
    <t>req prob</t>
  </si>
  <si>
    <t>target</t>
  </si>
  <si>
    <t>PROB:1</t>
  </si>
  <si>
    <t>sample mean</t>
  </si>
  <si>
    <t>pop std dev</t>
  </si>
  <si>
    <t xml:space="preserve">confidence limit </t>
  </si>
  <si>
    <t>sample size</t>
  </si>
  <si>
    <t>z alpha</t>
  </si>
  <si>
    <t>lower</t>
  </si>
  <si>
    <t>upper</t>
  </si>
  <si>
    <t xml:space="preserve">to calculate z score on positive side , we will take 90% + 5% from left </t>
  </si>
  <si>
    <t>assuming standard normal distribution, we will consider mean=0, std dev = 1</t>
  </si>
  <si>
    <t>PROB:1 for T distribution</t>
  </si>
  <si>
    <t>sample s.d.</t>
  </si>
  <si>
    <t>confidence interval</t>
  </si>
  <si>
    <t>t alpha</t>
  </si>
  <si>
    <t>t-score</t>
  </si>
  <si>
    <t>on positive side , we will take 90% + 5% from left</t>
  </si>
  <si>
    <t>TO CALCULATE T SCOR OR Z SCORE , WE CONSIDER norm.inv or t.inv</t>
  </si>
  <si>
    <t>Facebook</t>
  </si>
  <si>
    <t>Twitter</t>
  </si>
  <si>
    <t>Instagram</t>
  </si>
  <si>
    <t>Hrs.</t>
  </si>
  <si>
    <t>Mins.</t>
  </si>
  <si>
    <t>FACEBOOK</t>
  </si>
  <si>
    <t>TWITTER</t>
  </si>
  <si>
    <t>INSTAGRAM</t>
  </si>
  <si>
    <t>D.F.</t>
  </si>
  <si>
    <t>confidence limit</t>
  </si>
  <si>
    <t>mean - z-alpha*std dev/sqrt(sample size)</t>
  </si>
  <si>
    <t>mean + z-alpha*std dev/sqrt(sample size)</t>
  </si>
  <si>
    <t>mean - t-alpha*std dev/sqrt(sample size)</t>
  </si>
  <si>
    <t>mean + t-alpha*std dev/sqrt(sample size)</t>
  </si>
  <si>
    <t>we will consider sample size - 1 , to calculate t-alpha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</si>
</sst>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0" xfId="0" applyNumberFormat="1"/>
    <xf numFmtId="0" fontId="0" fillId="2" borderId="0" xfId="0" applyFill="1"/>
    <xf numFmtId="0" fontId="2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</xdr:colOff>
      <xdr:row>1</xdr:row>
      <xdr:rowOff>1</xdr:rowOff>
    </xdr:from>
    <xdr:to>
      <xdr:col>20</xdr:col>
      <xdr:colOff>55025</xdr:colOff>
      <xdr:row>14</xdr:row>
      <xdr:rowOff>68580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621B8D-B6EB-84EB-45FE-6E0480DCE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0041" y="182881"/>
          <a:ext cx="4931824" cy="244601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99061</xdr:rowOff>
    </xdr:from>
    <xdr:to>
      <xdr:col>20</xdr:col>
      <xdr:colOff>31886</xdr:colOff>
      <xdr:row>27</xdr:row>
      <xdr:rowOff>22861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5570BF-63D8-E9F9-EAD7-761081FB0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0040" y="3025141"/>
          <a:ext cx="4908686" cy="19354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89B0-6F87-4BDA-957D-E81E3EFF4034}">
  <dimension ref="A1:B5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2</v>
      </c>
      <c r="B1">
        <v>82000</v>
      </c>
    </row>
    <row r="2" spans="1:2" x14ac:dyDescent="0.3">
      <c r="A2" t="s">
        <v>0</v>
      </c>
      <c r="B2">
        <v>833</v>
      </c>
    </row>
    <row r="3" spans="1:2" x14ac:dyDescent="0.3">
      <c r="A3" t="s">
        <v>1</v>
      </c>
      <c r="B3">
        <v>36</v>
      </c>
    </row>
    <row r="4" spans="1:2" x14ac:dyDescent="0.3">
      <c r="A4" t="s">
        <v>4</v>
      </c>
      <c r="B4">
        <v>80000</v>
      </c>
    </row>
    <row r="5" spans="1:2" x14ac:dyDescent="0.3">
      <c r="A5" t="s">
        <v>3</v>
      </c>
      <c r="B5">
        <f>_xlfn.NORM.DIST(B4,B1,B2,TRUE)</f>
        <v>8.1760533432242224E-3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278-4A5F-40D7-A440-A3A658275AA7}">
  <dimension ref="A1:J19"/>
  <sheetViews>
    <sheetView topLeftCell="A12" workbookViewId="0">
      <selection activeCell="F25" sqref="F25"/>
    </sheetView>
  </sheetViews>
  <sheetFormatPr defaultRowHeight="14.4" x14ac:dyDescent="0.3"/>
  <cols>
    <col min="1" max="1" width="18" customWidth="1"/>
  </cols>
  <sheetData>
    <row r="1" spans="1:10" x14ac:dyDescent="0.3">
      <c r="A1" t="s">
        <v>5</v>
      </c>
    </row>
    <row r="3" spans="1:10" x14ac:dyDescent="0.3">
      <c r="A3" t="s">
        <v>6</v>
      </c>
      <c r="B3">
        <v>78000</v>
      </c>
      <c r="D3" t="s">
        <v>21</v>
      </c>
    </row>
    <row r="4" spans="1:10" x14ac:dyDescent="0.3">
      <c r="A4" s="2" t="s">
        <v>7</v>
      </c>
      <c r="B4">
        <v>10000</v>
      </c>
    </row>
    <row r="5" spans="1:10" x14ac:dyDescent="0.3">
      <c r="A5" t="s">
        <v>8</v>
      </c>
      <c r="B5" s="1">
        <v>0.9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t="s">
        <v>9</v>
      </c>
      <c r="B6">
        <v>36</v>
      </c>
      <c r="D6" s="2" t="s">
        <v>14</v>
      </c>
      <c r="E6" s="2"/>
      <c r="F6" s="2"/>
      <c r="G6" s="2"/>
      <c r="H6" s="2"/>
      <c r="I6" s="2"/>
      <c r="J6" s="2"/>
    </row>
    <row r="7" spans="1:10" x14ac:dyDescent="0.3">
      <c r="A7" t="s">
        <v>10</v>
      </c>
      <c r="B7">
        <f>_xlfn.NORM.INV(0.95,0,1)</f>
        <v>1.6448536269514715</v>
      </c>
    </row>
    <row r="8" spans="1:10" x14ac:dyDescent="0.3">
      <c r="A8" t="s">
        <v>11</v>
      </c>
      <c r="B8">
        <f>B3-B7*B4/SQRT(B6)</f>
        <v>75258.577288414221</v>
      </c>
      <c r="D8" t="s">
        <v>32</v>
      </c>
    </row>
    <row r="9" spans="1:10" x14ac:dyDescent="0.3">
      <c r="A9" t="s">
        <v>12</v>
      </c>
      <c r="B9">
        <f>B3+B7*B4/SQRT(B6)</f>
        <v>80741.422711585779</v>
      </c>
      <c r="D9" t="s">
        <v>33</v>
      </c>
    </row>
    <row r="11" spans="1:10" x14ac:dyDescent="0.3">
      <c r="A11" t="s">
        <v>15</v>
      </c>
    </row>
    <row r="13" spans="1:10" x14ac:dyDescent="0.3">
      <c r="A13" t="s">
        <v>6</v>
      </c>
      <c r="B13">
        <v>81000</v>
      </c>
    </row>
    <row r="14" spans="1:10" x14ac:dyDescent="0.3">
      <c r="A14" s="2" t="s">
        <v>16</v>
      </c>
      <c r="B14">
        <v>10000</v>
      </c>
      <c r="D14" s="2" t="s">
        <v>13</v>
      </c>
      <c r="E14" s="2" t="s">
        <v>19</v>
      </c>
      <c r="F14" s="2" t="s">
        <v>20</v>
      </c>
      <c r="G14" s="2"/>
      <c r="H14" s="2"/>
      <c r="I14" s="2"/>
      <c r="J14" s="2"/>
    </row>
    <row r="15" spans="1:10" x14ac:dyDescent="0.3">
      <c r="A15" t="s">
        <v>17</v>
      </c>
      <c r="B15" s="1">
        <v>0.9</v>
      </c>
      <c r="D15" s="2" t="s">
        <v>14</v>
      </c>
      <c r="E15" s="2"/>
      <c r="F15" s="2"/>
      <c r="G15" s="2"/>
      <c r="H15" s="2"/>
      <c r="I15" s="2"/>
      <c r="J15" s="2"/>
    </row>
    <row r="16" spans="1:10" x14ac:dyDescent="0.3">
      <c r="A16" t="s">
        <v>9</v>
      </c>
      <c r="B16">
        <v>15</v>
      </c>
    </row>
    <row r="17" spans="1:4" x14ac:dyDescent="0.3">
      <c r="A17" t="s">
        <v>18</v>
      </c>
      <c r="B17">
        <f>_xlfn.T.INV(0.95,B16-1)</f>
        <v>1.7613101357748921</v>
      </c>
      <c r="D17" t="s">
        <v>36</v>
      </c>
    </row>
    <row r="18" spans="1:4" x14ac:dyDescent="0.3">
      <c r="A18" t="s">
        <v>11</v>
      </c>
      <c r="B18">
        <f>B13-B17*B14/SQRT(B16)</f>
        <v>76452.316784425013</v>
      </c>
      <c r="D18" t="s">
        <v>34</v>
      </c>
    </row>
    <row r="19" spans="1:4" x14ac:dyDescent="0.3">
      <c r="A19" t="s">
        <v>12</v>
      </c>
      <c r="B19">
        <f>B13+B17*B14/SQRT(B16)</f>
        <v>85547.683215574987</v>
      </c>
      <c r="D19" t="s">
        <v>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0E82-A01B-4213-B99A-A2DE89BC3121}">
  <dimension ref="A1:N25"/>
  <sheetViews>
    <sheetView topLeftCell="A2" workbookViewId="0">
      <selection activeCell="L23" sqref="L23"/>
    </sheetView>
  </sheetViews>
  <sheetFormatPr defaultRowHeight="14.4" x14ac:dyDescent="0.3"/>
  <cols>
    <col min="11" max="11" width="11.77734375" customWidth="1"/>
    <col min="12" max="12" width="10.44140625" customWidth="1"/>
  </cols>
  <sheetData>
    <row r="1" spans="1:14" ht="16.2" thickBot="1" x14ac:dyDescent="0.35">
      <c r="A1" s="6"/>
      <c r="B1" s="8" t="s">
        <v>22</v>
      </c>
      <c r="C1" s="9"/>
      <c r="D1" s="10"/>
      <c r="E1" s="8" t="s">
        <v>23</v>
      </c>
      <c r="F1" s="10"/>
      <c r="G1" s="3"/>
      <c r="H1" s="8" t="s">
        <v>24</v>
      </c>
      <c r="I1" s="10"/>
    </row>
    <row r="2" spans="1:14" ht="16.2" thickBot="1" x14ac:dyDescent="0.35">
      <c r="A2" s="7"/>
      <c r="B2" s="4" t="s">
        <v>25</v>
      </c>
      <c r="C2" s="4" t="s">
        <v>26</v>
      </c>
      <c r="E2" s="4" t="s">
        <v>25</v>
      </c>
      <c r="F2" s="4" t="s">
        <v>26</v>
      </c>
      <c r="G2" s="4"/>
      <c r="H2" s="4" t="s">
        <v>25</v>
      </c>
      <c r="I2" s="4" t="s">
        <v>26</v>
      </c>
      <c r="L2" t="s">
        <v>27</v>
      </c>
      <c r="M2" t="s">
        <v>28</v>
      </c>
      <c r="N2" t="s">
        <v>29</v>
      </c>
    </row>
    <row r="3" spans="1:14" ht="16.2" thickBot="1" x14ac:dyDescent="0.35">
      <c r="A3" s="5">
        <v>1</v>
      </c>
      <c r="B3" s="4">
        <v>8</v>
      </c>
      <c r="C3" s="4">
        <v>30</v>
      </c>
      <c r="D3">
        <f>B3*60+C3</f>
        <v>510</v>
      </c>
      <c r="E3" s="4">
        <v>3</v>
      </c>
      <c r="F3" s="4">
        <v>29</v>
      </c>
      <c r="G3" s="4">
        <f>E3*60+F3</f>
        <v>209</v>
      </c>
      <c r="H3" s="4">
        <v>2</v>
      </c>
      <c r="I3" s="4">
        <v>31</v>
      </c>
      <c r="J3">
        <f>H3*60+I3</f>
        <v>151</v>
      </c>
      <c r="L3">
        <v>510</v>
      </c>
      <c r="M3">
        <v>209</v>
      </c>
      <c r="N3">
        <v>151</v>
      </c>
    </row>
    <row r="4" spans="1:14" ht="16.2" thickBot="1" x14ac:dyDescent="0.35">
      <c r="A4" s="5">
        <v>2</v>
      </c>
      <c r="B4" s="4">
        <v>9</v>
      </c>
      <c r="C4" s="4">
        <v>27</v>
      </c>
      <c r="D4">
        <f t="shared" ref="D4:D17" si="0">B4*60+C4</f>
        <v>567</v>
      </c>
      <c r="E4" s="4">
        <v>2</v>
      </c>
      <c r="F4" s="4">
        <v>16</v>
      </c>
      <c r="G4" s="4">
        <f t="shared" ref="G4:G17" si="1">E4*60+F4</f>
        <v>136</v>
      </c>
      <c r="H4" s="4">
        <v>2</v>
      </c>
      <c r="I4" s="4">
        <v>45</v>
      </c>
      <c r="J4">
        <f t="shared" ref="J4:J17" si="2">H4*60+I4</f>
        <v>165</v>
      </c>
      <c r="L4">
        <v>567</v>
      </c>
      <c r="M4">
        <v>136</v>
      </c>
      <c r="N4">
        <v>165</v>
      </c>
    </row>
    <row r="5" spans="1:14" ht="16.2" thickBot="1" x14ac:dyDescent="0.35">
      <c r="A5" s="5">
        <v>3</v>
      </c>
      <c r="B5" s="4">
        <v>12</v>
      </c>
      <c r="C5" s="4">
        <v>51</v>
      </c>
      <c r="D5">
        <f t="shared" si="0"/>
        <v>771</v>
      </c>
      <c r="E5" s="4">
        <v>3</v>
      </c>
      <c r="F5" s="4">
        <v>19</v>
      </c>
      <c r="G5" s="4">
        <f t="shared" si="1"/>
        <v>199</v>
      </c>
      <c r="H5" s="4">
        <v>4</v>
      </c>
      <c r="I5" s="4">
        <v>25</v>
      </c>
      <c r="J5">
        <f t="shared" si="2"/>
        <v>265</v>
      </c>
      <c r="L5">
        <v>771</v>
      </c>
      <c r="M5">
        <v>199</v>
      </c>
      <c r="N5">
        <v>265</v>
      </c>
    </row>
    <row r="6" spans="1:14" ht="16.2" thickBot="1" x14ac:dyDescent="0.35">
      <c r="A6" s="5">
        <v>4</v>
      </c>
      <c r="B6" s="4">
        <v>16</v>
      </c>
      <c r="C6" s="4">
        <v>29</v>
      </c>
      <c r="D6">
        <f t="shared" si="0"/>
        <v>989</v>
      </c>
      <c r="E6" s="4">
        <v>5</v>
      </c>
      <c r="F6" s="4">
        <v>34</v>
      </c>
      <c r="G6" s="4">
        <f t="shared" si="1"/>
        <v>334</v>
      </c>
      <c r="H6" s="4">
        <v>3</v>
      </c>
      <c r="I6" s="4">
        <v>41</v>
      </c>
      <c r="J6">
        <f t="shared" si="2"/>
        <v>221</v>
      </c>
      <c r="L6">
        <v>989</v>
      </c>
      <c r="M6">
        <v>334</v>
      </c>
      <c r="N6">
        <v>221</v>
      </c>
    </row>
    <row r="7" spans="1:14" ht="16.2" thickBot="1" x14ac:dyDescent="0.35">
      <c r="A7" s="5">
        <v>5</v>
      </c>
      <c r="B7" s="4">
        <v>9</v>
      </c>
      <c r="C7" s="4">
        <v>37</v>
      </c>
      <c r="D7">
        <f t="shared" si="0"/>
        <v>577</v>
      </c>
      <c r="E7" s="4">
        <v>6</v>
      </c>
      <c r="F7" s="4">
        <v>56</v>
      </c>
      <c r="G7" s="4">
        <f t="shared" si="1"/>
        <v>416</v>
      </c>
      <c r="H7" s="4">
        <v>2</v>
      </c>
      <c r="I7" s="4">
        <v>23</v>
      </c>
      <c r="J7">
        <f t="shared" si="2"/>
        <v>143</v>
      </c>
      <c r="L7">
        <v>577</v>
      </c>
      <c r="M7">
        <v>416</v>
      </c>
      <c r="N7">
        <v>143</v>
      </c>
    </row>
    <row r="8" spans="1:14" ht="16.2" thickBot="1" x14ac:dyDescent="0.35">
      <c r="A8" s="5">
        <v>6</v>
      </c>
      <c r="B8" s="4">
        <v>10</v>
      </c>
      <c r="C8" s="4">
        <v>41</v>
      </c>
      <c r="D8">
        <f t="shared" si="0"/>
        <v>641</v>
      </c>
      <c r="E8" s="4">
        <v>9</v>
      </c>
      <c r="F8" s="4">
        <v>51</v>
      </c>
      <c r="G8" s="4">
        <f t="shared" si="1"/>
        <v>591</v>
      </c>
      <c r="H8" s="4">
        <v>3</v>
      </c>
      <c r="I8" s="4">
        <v>46</v>
      </c>
      <c r="J8">
        <f t="shared" si="2"/>
        <v>226</v>
      </c>
      <c r="L8">
        <v>641</v>
      </c>
      <c r="M8">
        <v>591</v>
      </c>
      <c r="N8">
        <v>226</v>
      </c>
    </row>
    <row r="9" spans="1:14" ht="16.2" thickBot="1" x14ac:dyDescent="0.35">
      <c r="A9" s="5">
        <v>7</v>
      </c>
      <c r="B9" s="4">
        <v>13</v>
      </c>
      <c r="C9" s="4">
        <v>2</v>
      </c>
      <c r="D9">
        <f t="shared" si="0"/>
        <v>782</v>
      </c>
      <c r="E9" s="4">
        <v>8</v>
      </c>
      <c r="F9" s="4">
        <v>39</v>
      </c>
      <c r="G9" s="4">
        <f t="shared" si="1"/>
        <v>519</v>
      </c>
      <c r="H9" s="4">
        <v>3</v>
      </c>
      <c r="I9" s="4">
        <v>37</v>
      </c>
      <c r="J9">
        <f t="shared" si="2"/>
        <v>217</v>
      </c>
      <c r="L9">
        <v>782</v>
      </c>
      <c r="M9">
        <v>519</v>
      </c>
      <c r="N9">
        <v>217</v>
      </c>
    </row>
    <row r="10" spans="1:14" ht="16.2" thickBot="1" x14ac:dyDescent="0.35">
      <c r="A10" s="5">
        <v>8</v>
      </c>
      <c r="B10" s="4">
        <v>16</v>
      </c>
      <c r="C10" s="4">
        <v>11</v>
      </c>
      <c r="D10">
        <f t="shared" si="0"/>
        <v>971</v>
      </c>
      <c r="E10" s="4">
        <v>4</v>
      </c>
      <c r="F10" s="4">
        <v>28</v>
      </c>
      <c r="G10" s="4">
        <f t="shared" si="1"/>
        <v>268</v>
      </c>
      <c r="H10" s="4">
        <v>4</v>
      </c>
      <c r="I10" s="4">
        <v>48</v>
      </c>
      <c r="J10">
        <f t="shared" si="2"/>
        <v>288</v>
      </c>
      <c r="L10">
        <v>971</v>
      </c>
      <c r="M10">
        <v>268</v>
      </c>
      <c r="N10">
        <v>288</v>
      </c>
    </row>
    <row r="11" spans="1:14" ht="16.2" thickBot="1" x14ac:dyDescent="0.35">
      <c r="A11" s="5">
        <v>9</v>
      </c>
      <c r="B11" s="4">
        <v>13</v>
      </c>
      <c r="C11" s="4">
        <v>24</v>
      </c>
      <c r="D11">
        <f t="shared" si="0"/>
        <v>804</v>
      </c>
      <c r="E11" s="4">
        <v>5</v>
      </c>
      <c r="F11" s="4">
        <v>35</v>
      </c>
      <c r="G11" s="4">
        <f t="shared" si="1"/>
        <v>335</v>
      </c>
      <c r="H11" s="4">
        <v>2</v>
      </c>
      <c r="I11" s="4">
        <v>27</v>
      </c>
      <c r="J11">
        <f t="shared" si="2"/>
        <v>147</v>
      </c>
      <c r="L11">
        <v>804</v>
      </c>
      <c r="M11">
        <v>335</v>
      </c>
      <c r="N11">
        <v>147</v>
      </c>
    </row>
    <row r="12" spans="1:14" ht="16.2" thickBot="1" x14ac:dyDescent="0.35">
      <c r="A12" s="5">
        <v>10</v>
      </c>
      <c r="B12" s="4">
        <v>9</v>
      </c>
      <c r="C12" s="4">
        <v>19</v>
      </c>
      <c r="D12">
        <f t="shared" si="0"/>
        <v>559</v>
      </c>
      <c r="E12" s="4">
        <v>10</v>
      </c>
      <c r="F12" s="4">
        <v>30</v>
      </c>
      <c r="G12" s="4">
        <f t="shared" si="1"/>
        <v>630</v>
      </c>
      <c r="H12" s="4">
        <v>4</v>
      </c>
      <c r="I12" s="4">
        <v>40</v>
      </c>
      <c r="J12">
        <f t="shared" si="2"/>
        <v>280</v>
      </c>
      <c r="L12">
        <v>559</v>
      </c>
      <c r="M12">
        <v>630</v>
      </c>
      <c r="N12">
        <v>280</v>
      </c>
    </row>
    <row r="13" spans="1:14" ht="16.2" thickBot="1" x14ac:dyDescent="0.35">
      <c r="A13" s="5">
        <v>11</v>
      </c>
      <c r="B13" s="4">
        <v>5</v>
      </c>
      <c r="C13" s="4">
        <v>39</v>
      </c>
      <c r="D13">
        <f t="shared" si="0"/>
        <v>339</v>
      </c>
      <c r="E13" s="4">
        <v>7</v>
      </c>
      <c r="F13" s="4">
        <v>10</v>
      </c>
      <c r="G13" s="4">
        <f t="shared" si="1"/>
        <v>430</v>
      </c>
      <c r="H13" s="4">
        <v>3</v>
      </c>
      <c r="I13" s="4">
        <v>18</v>
      </c>
      <c r="J13">
        <f t="shared" si="2"/>
        <v>198</v>
      </c>
      <c r="L13">
        <v>339</v>
      </c>
      <c r="M13">
        <v>430</v>
      </c>
      <c r="N13">
        <v>198</v>
      </c>
    </row>
    <row r="14" spans="1:14" ht="16.2" thickBot="1" x14ac:dyDescent="0.35">
      <c r="A14" s="5">
        <v>12</v>
      </c>
      <c r="B14" s="4">
        <v>8</v>
      </c>
      <c r="C14" s="4">
        <v>46</v>
      </c>
      <c r="D14">
        <f t="shared" si="0"/>
        <v>526</v>
      </c>
      <c r="E14" s="4">
        <v>6</v>
      </c>
      <c r="F14" s="4">
        <v>3</v>
      </c>
      <c r="G14" s="4">
        <f t="shared" si="1"/>
        <v>363</v>
      </c>
      <c r="H14" s="4">
        <v>2</v>
      </c>
      <c r="I14" s="4">
        <v>26</v>
      </c>
      <c r="J14">
        <f t="shared" si="2"/>
        <v>146</v>
      </c>
      <c r="L14">
        <v>526</v>
      </c>
      <c r="M14">
        <v>363</v>
      </c>
      <c r="N14">
        <v>146</v>
      </c>
    </row>
    <row r="15" spans="1:14" ht="16.2" thickBot="1" x14ac:dyDescent="0.35">
      <c r="A15" s="5">
        <v>13</v>
      </c>
      <c r="B15" s="4">
        <v>9</v>
      </c>
      <c r="C15" s="4">
        <v>54</v>
      </c>
      <c r="D15">
        <f t="shared" si="0"/>
        <v>594</v>
      </c>
      <c r="E15" s="4">
        <v>3</v>
      </c>
      <c r="F15" s="4">
        <v>31</v>
      </c>
      <c r="G15" s="4">
        <f t="shared" si="1"/>
        <v>211</v>
      </c>
      <c r="H15" s="4">
        <v>2</v>
      </c>
      <c r="I15" s="4">
        <v>51</v>
      </c>
      <c r="J15">
        <f t="shared" si="2"/>
        <v>171</v>
      </c>
      <c r="L15">
        <v>594</v>
      </c>
      <c r="M15">
        <v>211</v>
      </c>
      <c r="N15">
        <v>171</v>
      </c>
    </row>
    <row r="16" spans="1:14" ht="16.2" thickBot="1" x14ac:dyDescent="0.35">
      <c r="A16" s="5">
        <v>14</v>
      </c>
      <c r="B16" s="4">
        <v>11</v>
      </c>
      <c r="C16" s="4">
        <v>17</v>
      </c>
      <c r="D16">
        <f t="shared" si="0"/>
        <v>677</v>
      </c>
      <c r="E16" s="4">
        <v>4</v>
      </c>
      <c r="F16" s="4">
        <v>28</v>
      </c>
      <c r="G16" s="4">
        <f t="shared" si="1"/>
        <v>268</v>
      </c>
      <c r="H16" s="4">
        <v>4</v>
      </c>
      <c r="I16" s="4">
        <v>41</v>
      </c>
      <c r="J16">
        <f t="shared" si="2"/>
        <v>281</v>
      </c>
      <c r="L16">
        <v>677</v>
      </c>
      <c r="M16">
        <v>268</v>
      </c>
      <c r="N16">
        <v>281</v>
      </c>
    </row>
    <row r="17" spans="1:14" ht="16.2" thickBot="1" x14ac:dyDescent="0.35">
      <c r="A17" s="5">
        <v>15</v>
      </c>
      <c r="B17" s="4">
        <v>7</v>
      </c>
      <c r="C17" s="4">
        <v>10</v>
      </c>
      <c r="D17">
        <f t="shared" si="0"/>
        <v>430</v>
      </c>
      <c r="E17" s="4">
        <v>6</v>
      </c>
      <c r="F17" s="4">
        <v>51</v>
      </c>
      <c r="G17" s="4">
        <f t="shared" si="1"/>
        <v>411</v>
      </c>
      <c r="H17" s="4">
        <v>1</v>
      </c>
      <c r="I17" s="4">
        <v>54</v>
      </c>
      <c r="J17">
        <f t="shared" si="2"/>
        <v>114</v>
      </c>
      <c r="L17">
        <v>430</v>
      </c>
      <c r="M17">
        <v>411</v>
      </c>
      <c r="N17">
        <v>114</v>
      </c>
    </row>
    <row r="19" spans="1:14" x14ac:dyDescent="0.3">
      <c r="K19" t="s">
        <v>6</v>
      </c>
      <c r="L19">
        <f>AVERAGE(L3:L17)</f>
        <v>649.13333333333333</v>
      </c>
      <c r="M19">
        <f>AVERAGE(M3:M17)</f>
        <v>354.66666666666669</v>
      </c>
      <c r="N19">
        <f>AVERAGE(N3:N17)</f>
        <v>200.86666666666667</v>
      </c>
    </row>
    <row r="20" spans="1:14" x14ac:dyDescent="0.3">
      <c r="K20" t="s">
        <v>16</v>
      </c>
      <c r="L20">
        <f>_xlfn.STDEV.S(L3:L17)</f>
        <v>184.83075913875786</v>
      </c>
      <c r="M20">
        <f>_xlfn.STDEV.S(M3:M17)</f>
        <v>146.65054023896724</v>
      </c>
      <c r="N20">
        <f>_xlfn.STDEV.S(N3:N17)</f>
        <v>58.042923361775536</v>
      </c>
    </row>
    <row r="21" spans="1:14" x14ac:dyDescent="0.3">
      <c r="K21" t="s">
        <v>30</v>
      </c>
      <c r="L21">
        <v>14</v>
      </c>
      <c r="M21">
        <v>14</v>
      </c>
      <c r="N21">
        <v>14</v>
      </c>
    </row>
    <row r="22" spans="1:14" x14ac:dyDescent="0.3">
      <c r="K22" t="s">
        <v>31</v>
      </c>
      <c r="L22" s="1">
        <v>0.9</v>
      </c>
      <c r="M22" s="1">
        <v>0.9</v>
      </c>
      <c r="N22" s="1">
        <v>0.9</v>
      </c>
    </row>
    <row r="23" spans="1:14" x14ac:dyDescent="0.3">
      <c r="K23" t="s">
        <v>18</v>
      </c>
      <c r="L23">
        <f>_xlfn.T.INV(0.95,L21)</f>
        <v>1.7613101357748921</v>
      </c>
      <c r="M23">
        <f t="shared" ref="M23:N23" si="3">_xlfn.T.INV(0.95,M21)</f>
        <v>1.7613101357748921</v>
      </c>
      <c r="N23">
        <f t="shared" si="3"/>
        <v>1.7613101357748921</v>
      </c>
    </row>
    <row r="24" spans="1:14" x14ac:dyDescent="0.3">
      <c r="K24" t="s">
        <v>11</v>
      </c>
      <c r="L24">
        <f>L19-L23*L20/SQRT(15)</f>
        <v>565.0781592276021</v>
      </c>
      <c r="M24">
        <f t="shared" ref="M24:N24" si="4">M19-M23*M20/SQRT(15)</f>
        <v>287.97464662669114</v>
      </c>
      <c r="N24">
        <f t="shared" si="4"/>
        <v>174.47058383114148</v>
      </c>
    </row>
    <row r="25" spans="1:14" x14ac:dyDescent="0.3">
      <c r="K25" t="s">
        <v>12</v>
      </c>
      <c r="L25">
        <f>L19+L23*L20/SQRT(15)</f>
        <v>733.18850743906455</v>
      </c>
      <c r="M25">
        <f t="shared" ref="M25:N25" si="5">M19+M23*M20/SQRT(15)</f>
        <v>421.35868670664223</v>
      </c>
      <c r="N25">
        <f t="shared" si="5"/>
        <v>227.26274950219187</v>
      </c>
    </row>
  </sheetData>
  <mergeCells count="4">
    <mergeCell ref="A1:A2"/>
    <mergeCell ref="B1:D1"/>
    <mergeCell ref="E1:F1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D034-244B-4F7F-81EC-937E70B65277}">
  <dimension ref="A1"/>
  <sheetViews>
    <sheetView tabSelected="1" workbookViewId="0">
      <selection activeCell="L14" sqref="L1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confidence_interval</vt:lpstr>
      <vt:lpstr>for_C.I._sample_caselet_4_</vt:lpstr>
      <vt:lpstr>Hypothesis_Testing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yadav business</dc:creator>
  <cp:lastModifiedBy>ajit yadav business</cp:lastModifiedBy>
  <dcterms:created xsi:type="dcterms:W3CDTF">2025-07-15T04:27:44Z</dcterms:created>
  <dcterms:modified xsi:type="dcterms:W3CDTF">2025-07-16T11:02:11Z</dcterms:modified>
</cp:coreProperties>
</file>