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dio\Downloads\"/>
    </mc:Choice>
  </mc:AlternateContent>
  <xr:revisionPtr revIDLastSave="0" documentId="13_ncr:1_{B30A685F-8D93-46F9-9F8E-E8585B4EA95E}" xr6:coauthVersionLast="47" xr6:coauthVersionMax="47" xr10:uidLastSave="{00000000-0000-0000-0000-000000000000}"/>
  <bookViews>
    <workbookView xWindow="-120" yWindow="-120" windowWidth="29040" windowHeight="15840" activeTab="1" xr2:uid="{6F12B144-6E8E-47B7-B3B9-CC9D0C3C53DF}"/>
  </bookViews>
  <sheets>
    <sheet name="Confidence Interval" sheetId="1" r:id="rId1"/>
    <sheet name="Sheet3" sheetId="4" r:id="rId2"/>
    <sheet name="Sheet2" sheetId="2" r:id="rId3"/>
  </sheets>
  <definedNames>
    <definedName name="_xlnm._FilterDatabase" localSheetId="2" hidden="1">Sheet2!$A$1:$C$51</definedName>
    <definedName name="solver_eng" localSheetId="2" hidden="1">1</definedName>
    <definedName name="solver_neg" localSheetId="2" hidden="1">1</definedName>
    <definedName name="solver_num" localSheetId="2" hidden="1">0</definedName>
    <definedName name="solver_opt" localSheetId="2" hidden="1">Sheet2!$I$30</definedName>
    <definedName name="solver_typ" localSheetId="2" hidden="1">1</definedName>
    <definedName name="solver_val" localSheetId="2" hidden="1">0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2" l="1"/>
  <c r="F37" i="2" l="1"/>
  <c r="Q23" i="1"/>
  <c r="Q24" i="1" s="1"/>
  <c r="R25" i="1"/>
  <c r="S25" i="1"/>
  <c r="R24" i="1"/>
  <c r="S24" i="1"/>
  <c r="R23" i="1"/>
  <c r="S23" i="1"/>
  <c r="Q20" i="1"/>
  <c r="R20" i="1"/>
  <c r="S20" i="1"/>
  <c r="R19" i="1"/>
  <c r="S19" i="1"/>
  <c r="Q19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3" i="1"/>
  <c r="B22" i="1"/>
  <c r="B24" i="1" s="1"/>
  <c r="B7" i="1"/>
  <c r="B9" i="1" s="1"/>
  <c r="Q25" i="1" l="1"/>
  <c r="B23" i="1"/>
  <c r="B26" i="1" s="1"/>
  <c r="B8" i="1"/>
  <c r="B11" i="1" s="1"/>
</calcChain>
</file>

<file path=xl/sharedStrings.xml><?xml version="1.0" encoding="utf-8"?>
<sst xmlns="http://schemas.openxmlformats.org/spreadsheetml/2006/main" count="109" uniqueCount="48">
  <si>
    <t>Prob 1</t>
  </si>
  <si>
    <t>Sample Mean</t>
  </si>
  <si>
    <t>Pop s.d.</t>
  </si>
  <si>
    <t>Confidence Limit</t>
  </si>
  <si>
    <t>Lower</t>
  </si>
  <si>
    <t>Upper</t>
  </si>
  <si>
    <t>Sample Size</t>
  </si>
  <si>
    <t>Z alpha</t>
  </si>
  <si>
    <t>Length of Interval</t>
  </si>
  <si>
    <t>Prob 2</t>
  </si>
  <si>
    <t>Sample s.d.</t>
  </si>
  <si>
    <t>t alpha</t>
  </si>
  <si>
    <t>Facebook</t>
  </si>
  <si>
    <t>Twitter</t>
  </si>
  <si>
    <t>Instagram</t>
  </si>
  <si>
    <t>Hrs.</t>
  </si>
  <si>
    <t>Mins.</t>
  </si>
  <si>
    <t>Minutes</t>
  </si>
  <si>
    <t>FB</t>
  </si>
  <si>
    <t>Sample S.D.</t>
  </si>
  <si>
    <t>D.F.</t>
  </si>
  <si>
    <t>Lower Bound</t>
  </si>
  <si>
    <t>Upper Bound</t>
  </si>
  <si>
    <t>S. No.</t>
  </si>
  <si>
    <t>Day of the Week</t>
  </si>
  <si>
    <t>Number of Orders</t>
  </si>
  <si>
    <t xml:space="preserve">Sunday </t>
  </si>
  <si>
    <t>Tuesday</t>
  </si>
  <si>
    <t>Monday</t>
  </si>
  <si>
    <t>Wednesday</t>
  </si>
  <si>
    <t>Thursday</t>
  </si>
  <si>
    <t>Sunday</t>
  </si>
  <si>
    <t>Friday</t>
  </si>
  <si>
    <t>Saturday</t>
  </si>
  <si>
    <t>Weekend</t>
  </si>
  <si>
    <t>Weekday</t>
  </si>
  <si>
    <t>t-Test: Two-Sample Assuming Equal Variances</t>
  </si>
  <si>
    <t>Mean</t>
  </si>
  <si>
    <t>Variance</t>
  </si>
  <si>
    <t>Observations</t>
  </si>
  <si>
    <t>Pooled Variance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</si>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</sst>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9" fontId="0" fillId="0" borderId="0" xfId="0" applyNumberFormat="1"/>
    <xf numFmtId="0" fontId="2" fillId="0" borderId="5" xfId="0" applyFont="1" applyBorder="1" applyAlignment="1">
      <alignment horizontal="justify" vertical="center" wrapText="1"/>
    </xf>
    <xf numFmtId="0" fontId="1" fillId="0" borderId="6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0" xfId="0" applyFont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0" fillId="0" borderId="0" xfId="0" applyFill="1" applyBorder="1" applyAlignment="1"/>
    <xf numFmtId="0" fontId="0" fillId="0" borderId="8" xfId="0" applyFill="1" applyBorder="1" applyAlignment="1"/>
    <xf numFmtId="0" fontId="3" fillId="0" borderId="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0D401-397B-431F-870D-3B153BFE6686}">
  <dimension ref="A1:S26"/>
  <sheetViews>
    <sheetView topLeftCell="L15" zoomScale="300" zoomScaleNormal="300" workbookViewId="0">
      <selection activeCell="Q23" sqref="Q23"/>
    </sheetView>
  </sheetViews>
  <sheetFormatPr defaultRowHeight="15" x14ac:dyDescent="0.25"/>
  <cols>
    <col min="1" max="1" width="15.7109375" bestFit="1" customWidth="1"/>
    <col min="16" max="16" width="15.7109375" bestFit="1" customWidth="1"/>
  </cols>
  <sheetData>
    <row r="1" spans="1:19" ht="16.5" thickBot="1" x14ac:dyDescent="0.3">
      <c r="A1" t="s">
        <v>0</v>
      </c>
      <c r="D1" s="8"/>
      <c r="E1" s="10" t="s">
        <v>12</v>
      </c>
      <c r="F1" s="11"/>
      <c r="G1" s="2"/>
      <c r="H1" s="10" t="s">
        <v>13</v>
      </c>
      <c r="I1" s="11"/>
      <c r="J1" s="2"/>
      <c r="K1" s="10" t="s">
        <v>14</v>
      </c>
      <c r="L1" s="11"/>
    </row>
    <row r="2" spans="1:19" ht="16.5" thickBot="1" x14ac:dyDescent="0.3">
      <c r="D2" s="9"/>
      <c r="E2" s="3" t="s">
        <v>15</v>
      </c>
      <c r="F2" s="3" t="s">
        <v>16</v>
      </c>
      <c r="G2" s="3" t="s">
        <v>17</v>
      </c>
      <c r="H2" s="3" t="s">
        <v>15</v>
      </c>
      <c r="I2" s="3" t="s">
        <v>16</v>
      </c>
      <c r="J2" s="3" t="s">
        <v>17</v>
      </c>
      <c r="K2" s="3" t="s">
        <v>15</v>
      </c>
      <c r="L2" s="3" t="s">
        <v>16</v>
      </c>
      <c r="M2" s="3" t="s">
        <v>17</v>
      </c>
      <c r="Q2" t="s">
        <v>18</v>
      </c>
      <c r="R2" t="s">
        <v>13</v>
      </c>
      <c r="S2" t="s">
        <v>14</v>
      </c>
    </row>
    <row r="3" spans="1:19" ht="16.5" thickBot="1" x14ac:dyDescent="0.3">
      <c r="A3" t="s">
        <v>1</v>
      </c>
      <c r="B3">
        <v>78000</v>
      </c>
      <c r="D3" s="4">
        <v>1</v>
      </c>
      <c r="E3" s="3">
        <v>8</v>
      </c>
      <c r="F3" s="3">
        <v>30</v>
      </c>
      <c r="G3" s="3">
        <f>E3*60+F3</f>
        <v>510</v>
      </c>
      <c r="H3" s="3">
        <v>3</v>
      </c>
      <c r="I3" s="3">
        <v>29</v>
      </c>
      <c r="J3" s="3">
        <f>H3*60+I3</f>
        <v>209</v>
      </c>
      <c r="K3" s="3">
        <v>2</v>
      </c>
      <c r="L3" s="3">
        <v>31</v>
      </c>
      <c r="M3" s="3">
        <f>K3*60+L3</f>
        <v>151</v>
      </c>
      <c r="Q3">
        <v>510</v>
      </c>
      <c r="R3">
        <v>209</v>
      </c>
      <c r="S3">
        <v>151</v>
      </c>
    </row>
    <row r="4" spans="1:19" ht="16.5" thickBot="1" x14ac:dyDescent="0.3">
      <c r="A4" t="s">
        <v>2</v>
      </c>
      <c r="B4">
        <v>10000</v>
      </c>
      <c r="D4" s="4">
        <v>2</v>
      </c>
      <c r="E4" s="3">
        <v>9</v>
      </c>
      <c r="F4" s="3">
        <v>27</v>
      </c>
      <c r="G4" s="3">
        <f t="shared" ref="G4:G17" si="0">E4*60+F4</f>
        <v>567</v>
      </c>
      <c r="H4" s="3">
        <v>2</v>
      </c>
      <c r="I4" s="3">
        <v>16</v>
      </c>
      <c r="J4" s="3">
        <f t="shared" ref="J4:J17" si="1">H4*60+I4</f>
        <v>136</v>
      </c>
      <c r="K4" s="3">
        <v>2</v>
      </c>
      <c r="L4" s="3">
        <v>45</v>
      </c>
      <c r="M4" s="3">
        <f t="shared" ref="M4:M17" si="2">K4*60+L4</f>
        <v>165</v>
      </c>
      <c r="Q4">
        <v>567</v>
      </c>
      <c r="R4">
        <v>136</v>
      </c>
      <c r="S4">
        <v>165</v>
      </c>
    </row>
    <row r="5" spans="1:19" ht="16.5" thickBot="1" x14ac:dyDescent="0.3">
      <c r="A5" t="s">
        <v>3</v>
      </c>
      <c r="B5" s="1">
        <v>0.9</v>
      </c>
      <c r="D5" s="4">
        <v>3</v>
      </c>
      <c r="E5" s="3">
        <v>12</v>
      </c>
      <c r="F5" s="3">
        <v>51</v>
      </c>
      <c r="G5" s="3">
        <f t="shared" si="0"/>
        <v>771</v>
      </c>
      <c r="H5" s="3">
        <v>3</v>
      </c>
      <c r="I5" s="3">
        <v>19</v>
      </c>
      <c r="J5" s="3">
        <f t="shared" si="1"/>
        <v>199</v>
      </c>
      <c r="K5" s="3">
        <v>4</v>
      </c>
      <c r="L5" s="3">
        <v>25</v>
      </c>
      <c r="M5" s="3">
        <f t="shared" si="2"/>
        <v>265</v>
      </c>
      <c r="Q5">
        <v>771</v>
      </c>
      <c r="R5">
        <v>199</v>
      </c>
      <c r="S5">
        <v>265</v>
      </c>
    </row>
    <row r="6" spans="1:19" ht="16.5" thickBot="1" x14ac:dyDescent="0.3">
      <c r="A6" t="s">
        <v>6</v>
      </c>
      <c r="B6">
        <v>121</v>
      </c>
      <c r="D6" s="4">
        <v>4</v>
      </c>
      <c r="E6" s="3">
        <v>16</v>
      </c>
      <c r="F6" s="3">
        <v>29</v>
      </c>
      <c r="G6" s="3">
        <f t="shared" si="0"/>
        <v>989</v>
      </c>
      <c r="H6" s="3">
        <v>5</v>
      </c>
      <c r="I6" s="3">
        <v>34</v>
      </c>
      <c r="J6" s="3">
        <f t="shared" si="1"/>
        <v>334</v>
      </c>
      <c r="K6" s="3">
        <v>3</v>
      </c>
      <c r="L6" s="3">
        <v>41</v>
      </c>
      <c r="M6" s="3">
        <f t="shared" si="2"/>
        <v>221</v>
      </c>
      <c r="Q6">
        <v>989</v>
      </c>
      <c r="R6">
        <v>334</v>
      </c>
      <c r="S6">
        <v>221</v>
      </c>
    </row>
    <row r="7" spans="1:19" ht="16.5" thickBot="1" x14ac:dyDescent="0.3">
      <c r="A7" t="s">
        <v>7</v>
      </c>
      <c r="B7">
        <f>_xlfn.NORM.INV(0.95,0,1)</f>
        <v>1.6448536269514715</v>
      </c>
      <c r="D7" s="4">
        <v>5</v>
      </c>
      <c r="E7" s="3">
        <v>9</v>
      </c>
      <c r="F7" s="3">
        <v>37</v>
      </c>
      <c r="G7" s="3">
        <f t="shared" si="0"/>
        <v>577</v>
      </c>
      <c r="H7" s="3">
        <v>6</v>
      </c>
      <c r="I7" s="3">
        <v>56</v>
      </c>
      <c r="J7" s="3">
        <f t="shared" si="1"/>
        <v>416</v>
      </c>
      <c r="K7" s="3">
        <v>2</v>
      </c>
      <c r="L7" s="3">
        <v>23</v>
      </c>
      <c r="M7" s="3">
        <f t="shared" si="2"/>
        <v>143</v>
      </c>
      <c r="Q7">
        <v>577</v>
      </c>
      <c r="R7">
        <v>416</v>
      </c>
      <c r="S7">
        <v>143</v>
      </c>
    </row>
    <row r="8" spans="1:19" ht="16.5" thickBot="1" x14ac:dyDescent="0.3">
      <c r="A8" t="s">
        <v>4</v>
      </c>
      <c r="B8">
        <f>B3+-B7*B4/SQRT(B6)</f>
        <v>76504.67852095321</v>
      </c>
      <c r="D8" s="4">
        <v>6</v>
      </c>
      <c r="E8" s="3">
        <v>10</v>
      </c>
      <c r="F8" s="3">
        <v>41</v>
      </c>
      <c r="G8" s="3">
        <f t="shared" si="0"/>
        <v>641</v>
      </c>
      <c r="H8" s="3">
        <v>9</v>
      </c>
      <c r="I8" s="3">
        <v>51</v>
      </c>
      <c r="J8" s="3">
        <f t="shared" si="1"/>
        <v>591</v>
      </c>
      <c r="K8" s="3">
        <v>3</v>
      </c>
      <c r="L8" s="3">
        <v>46</v>
      </c>
      <c r="M8" s="3">
        <f t="shared" si="2"/>
        <v>226</v>
      </c>
      <c r="Q8">
        <v>641</v>
      </c>
      <c r="R8">
        <v>591</v>
      </c>
      <c r="S8">
        <v>226</v>
      </c>
    </row>
    <row r="9" spans="1:19" ht="16.5" thickBot="1" x14ac:dyDescent="0.3">
      <c r="A9" t="s">
        <v>5</v>
      </c>
      <c r="B9">
        <f>B3+B7*B4/SQRT(B6)</f>
        <v>79495.32147904679</v>
      </c>
      <c r="D9" s="4">
        <v>7</v>
      </c>
      <c r="E9" s="3">
        <v>13</v>
      </c>
      <c r="F9" s="3">
        <v>2</v>
      </c>
      <c r="G9" s="3">
        <f t="shared" si="0"/>
        <v>782</v>
      </c>
      <c r="H9" s="3">
        <v>8</v>
      </c>
      <c r="I9" s="3">
        <v>39</v>
      </c>
      <c r="J9" s="3">
        <f t="shared" si="1"/>
        <v>519</v>
      </c>
      <c r="K9" s="3">
        <v>3</v>
      </c>
      <c r="L9" s="3">
        <v>37</v>
      </c>
      <c r="M9" s="3">
        <f t="shared" si="2"/>
        <v>217</v>
      </c>
      <c r="Q9">
        <v>782</v>
      </c>
      <c r="R9">
        <v>519</v>
      </c>
      <c r="S9">
        <v>217</v>
      </c>
    </row>
    <row r="10" spans="1:19" ht="16.5" thickBot="1" x14ac:dyDescent="0.3">
      <c r="D10" s="4">
        <v>8</v>
      </c>
      <c r="E10" s="3">
        <v>16</v>
      </c>
      <c r="F10" s="3">
        <v>11</v>
      </c>
      <c r="G10" s="3">
        <f t="shared" si="0"/>
        <v>971</v>
      </c>
      <c r="H10" s="3">
        <v>4</v>
      </c>
      <c r="I10" s="3">
        <v>28</v>
      </c>
      <c r="J10" s="3">
        <f t="shared" si="1"/>
        <v>268</v>
      </c>
      <c r="K10" s="3">
        <v>4</v>
      </c>
      <c r="L10" s="3">
        <v>48</v>
      </c>
      <c r="M10" s="3">
        <f t="shared" si="2"/>
        <v>288</v>
      </c>
      <c r="Q10">
        <v>971</v>
      </c>
      <c r="R10">
        <v>268</v>
      </c>
      <c r="S10">
        <v>288</v>
      </c>
    </row>
    <row r="11" spans="1:19" ht="16.5" thickBot="1" x14ac:dyDescent="0.3">
      <c r="A11" t="s">
        <v>8</v>
      </c>
      <c r="B11">
        <f>B9-B8</f>
        <v>2990.6429580935801</v>
      </c>
      <c r="D11" s="4">
        <v>9</v>
      </c>
      <c r="E11" s="3">
        <v>13</v>
      </c>
      <c r="F11" s="3">
        <v>24</v>
      </c>
      <c r="G11" s="3">
        <f t="shared" si="0"/>
        <v>804</v>
      </c>
      <c r="H11" s="3">
        <v>5</v>
      </c>
      <c r="I11" s="3">
        <v>35</v>
      </c>
      <c r="J11" s="3">
        <f t="shared" si="1"/>
        <v>335</v>
      </c>
      <c r="K11" s="3">
        <v>2</v>
      </c>
      <c r="L11" s="3">
        <v>27</v>
      </c>
      <c r="M11" s="3">
        <f t="shared" si="2"/>
        <v>147</v>
      </c>
      <c r="Q11">
        <v>804</v>
      </c>
      <c r="R11">
        <v>335</v>
      </c>
      <c r="S11">
        <v>147</v>
      </c>
    </row>
    <row r="12" spans="1:19" ht="16.5" thickBot="1" x14ac:dyDescent="0.3">
      <c r="D12" s="4">
        <v>10</v>
      </c>
      <c r="E12" s="3">
        <v>9</v>
      </c>
      <c r="F12" s="3">
        <v>19</v>
      </c>
      <c r="G12" s="3">
        <f t="shared" si="0"/>
        <v>559</v>
      </c>
      <c r="H12" s="3">
        <v>10</v>
      </c>
      <c r="I12" s="3">
        <v>30</v>
      </c>
      <c r="J12" s="3">
        <f t="shared" si="1"/>
        <v>630</v>
      </c>
      <c r="K12" s="3">
        <v>4</v>
      </c>
      <c r="L12" s="3">
        <v>40</v>
      </c>
      <c r="M12" s="3">
        <f t="shared" si="2"/>
        <v>280</v>
      </c>
      <c r="Q12">
        <v>559</v>
      </c>
      <c r="R12">
        <v>630</v>
      </c>
      <c r="S12">
        <v>280</v>
      </c>
    </row>
    <row r="13" spans="1:19" ht="16.5" thickBot="1" x14ac:dyDescent="0.3">
      <c r="D13" s="4">
        <v>11</v>
      </c>
      <c r="E13" s="3">
        <v>5</v>
      </c>
      <c r="F13" s="3">
        <v>39</v>
      </c>
      <c r="G13" s="3">
        <f t="shared" si="0"/>
        <v>339</v>
      </c>
      <c r="H13" s="3">
        <v>7</v>
      </c>
      <c r="I13" s="3">
        <v>10</v>
      </c>
      <c r="J13" s="3">
        <f t="shared" si="1"/>
        <v>430</v>
      </c>
      <c r="K13" s="3">
        <v>3</v>
      </c>
      <c r="L13" s="3">
        <v>18</v>
      </c>
      <c r="M13" s="3">
        <f t="shared" si="2"/>
        <v>198</v>
      </c>
      <c r="Q13">
        <v>339</v>
      </c>
      <c r="R13">
        <v>430</v>
      </c>
      <c r="S13">
        <v>198</v>
      </c>
    </row>
    <row r="14" spans="1:19" ht="16.5" thickBot="1" x14ac:dyDescent="0.3">
      <c r="D14" s="4">
        <v>12</v>
      </c>
      <c r="E14" s="3">
        <v>8</v>
      </c>
      <c r="F14" s="3">
        <v>46</v>
      </c>
      <c r="G14" s="3">
        <f t="shared" si="0"/>
        <v>526</v>
      </c>
      <c r="H14" s="3">
        <v>6</v>
      </c>
      <c r="I14" s="3">
        <v>3</v>
      </c>
      <c r="J14" s="3">
        <f t="shared" si="1"/>
        <v>363</v>
      </c>
      <c r="K14" s="3">
        <v>2</v>
      </c>
      <c r="L14" s="3">
        <v>26</v>
      </c>
      <c r="M14" s="3">
        <f t="shared" si="2"/>
        <v>146</v>
      </c>
      <c r="Q14">
        <v>526</v>
      </c>
      <c r="R14">
        <v>363</v>
      </c>
      <c r="S14">
        <v>146</v>
      </c>
    </row>
    <row r="15" spans="1:19" ht="16.5" thickBot="1" x14ac:dyDescent="0.3">
      <c r="D15" s="4">
        <v>13</v>
      </c>
      <c r="E15" s="3">
        <v>9</v>
      </c>
      <c r="F15" s="3">
        <v>54</v>
      </c>
      <c r="G15" s="3">
        <f t="shared" si="0"/>
        <v>594</v>
      </c>
      <c r="H15" s="3">
        <v>3</v>
      </c>
      <c r="I15" s="3">
        <v>31</v>
      </c>
      <c r="J15" s="3">
        <f t="shared" si="1"/>
        <v>211</v>
      </c>
      <c r="K15" s="3">
        <v>2</v>
      </c>
      <c r="L15" s="3">
        <v>51</v>
      </c>
      <c r="M15" s="3">
        <f t="shared" si="2"/>
        <v>171</v>
      </c>
      <c r="Q15">
        <v>594</v>
      </c>
      <c r="R15">
        <v>211</v>
      </c>
      <c r="S15">
        <v>171</v>
      </c>
    </row>
    <row r="16" spans="1:19" ht="16.5" thickBot="1" x14ac:dyDescent="0.3">
      <c r="A16" t="s">
        <v>9</v>
      </c>
      <c r="D16" s="4">
        <v>14</v>
      </c>
      <c r="E16" s="3">
        <v>11</v>
      </c>
      <c r="F16" s="3">
        <v>17</v>
      </c>
      <c r="G16" s="3">
        <f t="shared" si="0"/>
        <v>677</v>
      </c>
      <c r="H16" s="3">
        <v>4</v>
      </c>
      <c r="I16" s="3">
        <v>28</v>
      </c>
      <c r="J16" s="3">
        <f t="shared" si="1"/>
        <v>268</v>
      </c>
      <c r="K16" s="3">
        <v>4</v>
      </c>
      <c r="L16" s="3">
        <v>41</v>
      </c>
      <c r="M16" s="3">
        <f t="shared" si="2"/>
        <v>281</v>
      </c>
      <c r="Q16">
        <v>677</v>
      </c>
      <c r="R16">
        <v>268</v>
      </c>
      <c r="S16">
        <v>281</v>
      </c>
    </row>
    <row r="17" spans="1:19" ht="16.5" thickBot="1" x14ac:dyDescent="0.3">
      <c r="D17" s="4">
        <v>15</v>
      </c>
      <c r="E17" s="3">
        <v>7</v>
      </c>
      <c r="F17" s="3">
        <v>10</v>
      </c>
      <c r="G17" s="3">
        <f t="shared" si="0"/>
        <v>430</v>
      </c>
      <c r="H17" s="3">
        <v>6</v>
      </c>
      <c r="I17" s="3">
        <v>51</v>
      </c>
      <c r="J17" s="3">
        <f t="shared" si="1"/>
        <v>411</v>
      </c>
      <c r="K17" s="3">
        <v>1</v>
      </c>
      <c r="L17" s="3">
        <v>54</v>
      </c>
      <c r="M17" s="3">
        <f t="shared" si="2"/>
        <v>114</v>
      </c>
      <c r="Q17">
        <v>430</v>
      </c>
      <c r="R17">
        <v>411</v>
      </c>
      <c r="S17">
        <v>114</v>
      </c>
    </row>
    <row r="18" spans="1:19" x14ac:dyDescent="0.25">
      <c r="A18" t="s">
        <v>1</v>
      </c>
      <c r="B18">
        <v>81000</v>
      </c>
    </row>
    <row r="19" spans="1:19" x14ac:dyDescent="0.25">
      <c r="A19" t="s">
        <v>10</v>
      </c>
      <c r="B19">
        <v>10000</v>
      </c>
      <c r="P19" t="s">
        <v>1</v>
      </c>
      <c r="Q19">
        <f>AVERAGE(Q3:Q17)</f>
        <v>649.13333333333333</v>
      </c>
      <c r="R19">
        <f t="shared" ref="R19:S19" si="3">AVERAGE(R3:R17)</f>
        <v>354.66666666666669</v>
      </c>
      <c r="S19">
        <f t="shared" si="3"/>
        <v>200.86666666666667</v>
      </c>
    </row>
    <row r="20" spans="1:19" x14ac:dyDescent="0.25">
      <c r="A20" t="s">
        <v>3</v>
      </c>
      <c r="B20" s="1">
        <v>0.9</v>
      </c>
      <c r="P20" t="s">
        <v>19</v>
      </c>
      <c r="Q20">
        <f>_xlfn.STDEV.S(Q3:Q17)</f>
        <v>184.83075913875786</v>
      </c>
      <c r="R20">
        <f t="shared" ref="R20:S20" si="4">_xlfn.STDEV.S(R3:R17)</f>
        <v>146.65054023896724</v>
      </c>
      <c r="S20">
        <f t="shared" si="4"/>
        <v>58.042923361775536</v>
      </c>
    </row>
    <row r="21" spans="1:19" x14ac:dyDescent="0.25">
      <c r="A21" t="s">
        <v>6</v>
      </c>
      <c r="B21">
        <v>15</v>
      </c>
      <c r="P21" t="s">
        <v>20</v>
      </c>
      <c r="Q21">
        <v>14</v>
      </c>
      <c r="R21">
        <v>14</v>
      </c>
      <c r="S21">
        <v>14</v>
      </c>
    </row>
    <row r="22" spans="1:19" x14ac:dyDescent="0.25">
      <c r="A22" t="s">
        <v>11</v>
      </c>
      <c r="B22">
        <f>_xlfn.T.INV(0.95,B21-1)</f>
        <v>1.7613101357748921</v>
      </c>
      <c r="P22" t="s">
        <v>3</v>
      </c>
      <c r="Q22" s="1">
        <v>0.9</v>
      </c>
      <c r="R22" s="1">
        <v>0.9</v>
      </c>
      <c r="S22" s="1">
        <v>0.9</v>
      </c>
    </row>
    <row r="23" spans="1:19" x14ac:dyDescent="0.25">
      <c r="A23" t="s">
        <v>4</v>
      </c>
      <c r="B23">
        <f>B18-B22*B19/SQRT(B21)</f>
        <v>76452.316784425013</v>
      </c>
      <c r="P23" t="s">
        <v>11</v>
      </c>
      <c r="Q23">
        <f>_xlfn.T.INV(0.95,Q21)</f>
        <v>1.7613101357748921</v>
      </c>
      <c r="R23">
        <f t="shared" ref="R23:S23" si="5">_xlfn.T.INV(0.95,R21)</f>
        <v>1.7613101357748921</v>
      </c>
      <c r="S23">
        <f t="shared" si="5"/>
        <v>1.7613101357748921</v>
      </c>
    </row>
    <row r="24" spans="1:19" x14ac:dyDescent="0.25">
      <c r="A24" t="s">
        <v>5</v>
      </c>
      <c r="B24">
        <f>B18+B22*B19/SQRT(B21)</f>
        <v>85547.683215574987</v>
      </c>
      <c r="P24" t="s">
        <v>21</v>
      </c>
      <c r="Q24">
        <f>Q19-Q23*Q20/SQRT(15)</f>
        <v>565.0781592276021</v>
      </c>
      <c r="R24">
        <f t="shared" ref="R24:S24" si="6">R19-R23*R20/SQRT(15)</f>
        <v>287.97464662669114</v>
      </c>
      <c r="S24">
        <f t="shared" si="6"/>
        <v>174.47058383114148</v>
      </c>
    </row>
    <row r="25" spans="1:19" x14ac:dyDescent="0.25">
      <c r="P25" t="s">
        <v>22</v>
      </c>
      <c r="Q25">
        <f>Q19+Q23*Q20/SQRT(15)</f>
        <v>733.18850743906455</v>
      </c>
      <c r="R25">
        <f t="shared" ref="R25:S25" si="7">R19+R23*R20/SQRT(15)</f>
        <v>421.35868670664223</v>
      </c>
      <c r="S25">
        <f t="shared" si="7"/>
        <v>227.26274950219187</v>
      </c>
    </row>
    <row r="26" spans="1:19" x14ac:dyDescent="0.25">
      <c r="A26" t="s">
        <v>8</v>
      </c>
      <c r="B26">
        <f>B24-B23</f>
        <v>9095.3664311499742</v>
      </c>
    </row>
  </sheetData>
  <mergeCells count="4">
    <mergeCell ref="D1:D2"/>
    <mergeCell ref="E1:F1"/>
    <mergeCell ref="H1:I1"/>
    <mergeCell ref="K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B4EEB-C60B-4000-B59F-6E80D35F32E3}">
  <dimension ref="A1:C14"/>
  <sheetViews>
    <sheetView tabSelected="1" zoomScale="220" zoomScaleNormal="220" workbookViewId="0">
      <selection activeCell="H12" sqref="H12"/>
    </sheetView>
  </sheetViews>
  <sheetFormatPr defaultRowHeight="15" x14ac:dyDescent="0.25"/>
  <cols>
    <col min="1" max="1" width="42.7109375" bestFit="1" customWidth="1"/>
    <col min="2" max="2" width="12" bestFit="1" customWidth="1"/>
  </cols>
  <sheetData>
    <row r="1" spans="1:3" x14ac:dyDescent="0.25">
      <c r="A1" t="s">
        <v>36</v>
      </c>
    </row>
    <row r="2" spans="1:3" ht="15.75" thickBot="1" x14ac:dyDescent="0.3"/>
    <row r="3" spans="1:3" x14ac:dyDescent="0.25">
      <c r="A3" s="14"/>
      <c r="B3" s="14" t="s">
        <v>34</v>
      </c>
      <c r="C3" s="14" t="s">
        <v>35</v>
      </c>
    </row>
    <row r="4" spans="1:3" x14ac:dyDescent="0.25">
      <c r="A4" s="12" t="s">
        <v>37</v>
      </c>
      <c r="B4" s="12">
        <v>626.3125</v>
      </c>
      <c r="C4" s="12">
        <v>572.52941176470586</v>
      </c>
    </row>
    <row r="5" spans="1:3" x14ac:dyDescent="0.25">
      <c r="A5" s="12" t="s">
        <v>38</v>
      </c>
      <c r="B5" s="12">
        <v>50576.895833333336</v>
      </c>
      <c r="C5" s="12">
        <v>11763.771836007127</v>
      </c>
    </row>
    <row r="6" spans="1:3" x14ac:dyDescent="0.25">
      <c r="A6" s="12" t="s">
        <v>39</v>
      </c>
      <c r="B6" s="12">
        <v>16</v>
      </c>
      <c r="C6" s="12">
        <v>34</v>
      </c>
    </row>
    <row r="7" spans="1:3" x14ac:dyDescent="0.25">
      <c r="A7" s="12" t="s">
        <v>40</v>
      </c>
      <c r="B7" s="12">
        <v>23892.873085171566</v>
      </c>
      <c r="C7" s="12"/>
    </row>
    <row r="8" spans="1:3" x14ac:dyDescent="0.25">
      <c r="A8" s="12" t="s">
        <v>41</v>
      </c>
      <c r="B8" s="12">
        <v>0</v>
      </c>
      <c r="C8" s="12"/>
    </row>
    <row r="9" spans="1:3" x14ac:dyDescent="0.25">
      <c r="A9" s="12" t="s">
        <v>42</v>
      </c>
      <c r="B9" s="12">
        <v>48</v>
      </c>
      <c r="C9" s="12"/>
    </row>
    <row r="10" spans="1:3" x14ac:dyDescent="0.25">
      <c r="A10" s="12" t="s">
        <v>43</v>
      </c>
      <c r="B10" s="12">
        <v>1.1476936940980047</v>
      </c>
      <c r="C10" s="12"/>
    </row>
    <row r="11" spans="1:3" x14ac:dyDescent="0.25">
      <c r="A11" s="12" t="s">
        <v>44</v>
      </c>
      <c r="B11" s="12">
        <v>0.12839158794673636</v>
      </c>
      <c r="C11" s="12"/>
    </row>
    <row r="12" spans="1:3" x14ac:dyDescent="0.25">
      <c r="A12" s="12" t="s">
        <v>45</v>
      </c>
      <c r="B12" s="12">
        <v>1.6772241961243386</v>
      </c>
      <c r="C12" s="12"/>
    </row>
    <row r="13" spans="1:3" x14ac:dyDescent="0.25">
      <c r="A13" s="12" t="s">
        <v>46</v>
      </c>
      <c r="B13" s="12">
        <v>0.25678317589347271</v>
      </c>
      <c r="C13" s="12"/>
    </row>
    <row r="14" spans="1:3" ht="15.75" thickBot="1" x14ac:dyDescent="0.3">
      <c r="A14" s="13" t="s">
        <v>47</v>
      </c>
      <c r="B14" s="13">
        <v>2.0106347576242314</v>
      </c>
      <c r="C14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513A1-760E-4C86-8FD2-D9672D5BF982}">
  <dimension ref="A1:F51"/>
  <sheetViews>
    <sheetView zoomScale="170" zoomScaleNormal="170" workbookViewId="0">
      <selection activeCell="E38" sqref="E38"/>
    </sheetView>
  </sheetViews>
  <sheetFormatPr defaultRowHeight="15" x14ac:dyDescent="0.25"/>
  <cols>
    <col min="2" max="2" width="31.28515625" customWidth="1"/>
    <col min="3" max="3" width="32.28515625" customWidth="1"/>
    <col min="5" max="5" width="11.140625" customWidth="1"/>
    <col min="6" max="6" width="13.5703125" customWidth="1"/>
  </cols>
  <sheetData>
    <row r="1" spans="1:6" ht="16.5" thickBot="1" x14ac:dyDescent="0.3">
      <c r="A1" s="6" t="s">
        <v>23</v>
      </c>
      <c r="B1" s="5" t="s">
        <v>24</v>
      </c>
      <c r="C1" s="5" t="s">
        <v>25</v>
      </c>
      <c r="E1" s="7" t="s">
        <v>34</v>
      </c>
      <c r="F1" s="7" t="s">
        <v>35</v>
      </c>
    </row>
    <row r="2" spans="1:6" ht="16.5" thickBot="1" x14ac:dyDescent="0.3">
      <c r="A2" s="4">
        <v>1</v>
      </c>
      <c r="B2" s="3" t="s">
        <v>26</v>
      </c>
      <c r="C2" s="3">
        <v>756</v>
      </c>
      <c r="E2" s="3">
        <v>756</v>
      </c>
      <c r="F2" s="3">
        <v>683</v>
      </c>
    </row>
    <row r="3" spans="1:6" ht="16.5" thickBot="1" x14ac:dyDescent="0.3">
      <c r="A3" s="4">
        <v>2</v>
      </c>
      <c r="B3" s="3" t="s">
        <v>28</v>
      </c>
      <c r="C3" s="3">
        <v>683</v>
      </c>
      <c r="E3" s="3">
        <v>652</v>
      </c>
      <c r="F3" s="3">
        <v>661</v>
      </c>
    </row>
    <row r="4" spans="1:6" ht="16.5" thickBot="1" x14ac:dyDescent="0.3">
      <c r="A4" s="4">
        <v>3</v>
      </c>
      <c r="B4" s="3" t="s">
        <v>27</v>
      </c>
      <c r="C4" s="3">
        <v>661</v>
      </c>
      <c r="E4" s="3">
        <v>634</v>
      </c>
      <c r="F4" s="3">
        <v>530</v>
      </c>
    </row>
    <row r="5" spans="1:6" ht="16.5" thickBot="1" x14ac:dyDescent="0.3">
      <c r="A5" s="4">
        <v>4</v>
      </c>
      <c r="B5" s="3" t="s">
        <v>29</v>
      </c>
      <c r="C5" s="3">
        <v>530</v>
      </c>
      <c r="E5" s="3">
        <v>239</v>
      </c>
      <c r="F5" s="3">
        <v>468</v>
      </c>
    </row>
    <row r="6" spans="1:6" ht="16.5" thickBot="1" x14ac:dyDescent="0.3">
      <c r="A6" s="4">
        <v>5</v>
      </c>
      <c r="B6" s="3" t="s">
        <v>32</v>
      </c>
      <c r="C6" s="3">
        <v>468</v>
      </c>
      <c r="E6" s="3">
        <v>984</v>
      </c>
      <c r="F6" s="3">
        <v>701</v>
      </c>
    </row>
    <row r="7" spans="1:6" ht="16.5" thickBot="1" x14ac:dyDescent="0.3">
      <c r="A7" s="4">
        <v>6</v>
      </c>
      <c r="B7" s="3" t="s">
        <v>28</v>
      </c>
      <c r="C7" s="3">
        <v>701</v>
      </c>
      <c r="E7" s="3">
        <v>459</v>
      </c>
      <c r="F7" s="3">
        <v>589</v>
      </c>
    </row>
    <row r="8" spans="1:6" ht="16.5" thickBot="1" x14ac:dyDescent="0.3">
      <c r="A8" s="4">
        <v>7</v>
      </c>
      <c r="B8" s="3" t="s">
        <v>33</v>
      </c>
      <c r="C8" s="3">
        <v>652</v>
      </c>
      <c r="E8" s="3">
        <v>851</v>
      </c>
      <c r="F8" s="3">
        <v>471</v>
      </c>
    </row>
    <row r="9" spans="1:6" ht="16.5" thickBot="1" x14ac:dyDescent="0.3">
      <c r="A9" s="4">
        <v>8</v>
      </c>
      <c r="B9" s="3" t="s">
        <v>28</v>
      </c>
      <c r="C9" s="3">
        <v>589</v>
      </c>
      <c r="E9" s="3">
        <v>865</v>
      </c>
      <c r="F9" s="3">
        <v>651</v>
      </c>
    </row>
    <row r="10" spans="1:6" ht="16.5" thickBot="1" x14ac:dyDescent="0.3">
      <c r="A10" s="4">
        <v>9</v>
      </c>
      <c r="B10" s="3" t="s">
        <v>29</v>
      </c>
      <c r="C10" s="3">
        <v>471</v>
      </c>
      <c r="E10" s="3">
        <v>455</v>
      </c>
      <c r="F10" s="3">
        <v>429</v>
      </c>
    </row>
    <row r="11" spans="1:6" ht="16.5" thickBot="1" x14ac:dyDescent="0.3">
      <c r="A11" s="4">
        <v>10</v>
      </c>
      <c r="B11" s="3" t="s">
        <v>31</v>
      </c>
      <c r="C11" s="3">
        <v>634</v>
      </c>
      <c r="E11" s="3">
        <v>374</v>
      </c>
      <c r="F11" s="3">
        <v>617</v>
      </c>
    </row>
    <row r="12" spans="1:6" ht="16.5" thickBot="1" x14ac:dyDescent="0.3">
      <c r="A12" s="4">
        <v>11</v>
      </c>
      <c r="B12" s="3" t="s">
        <v>32</v>
      </c>
      <c r="C12" s="3">
        <v>651</v>
      </c>
      <c r="E12" s="3">
        <v>304</v>
      </c>
      <c r="F12" s="3">
        <v>575</v>
      </c>
    </row>
    <row r="13" spans="1:6" ht="16.5" thickBot="1" x14ac:dyDescent="0.3">
      <c r="A13" s="4">
        <v>12</v>
      </c>
      <c r="B13" s="3" t="s">
        <v>27</v>
      </c>
      <c r="C13" s="3">
        <v>429</v>
      </c>
      <c r="E13" s="3">
        <v>638</v>
      </c>
      <c r="F13" s="3">
        <v>600</v>
      </c>
    </row>
    <row r="14" spans="1:6" ht="16.5" thickBot="1" x14ac:dyDescent="0.3">
      <c r="A14" s="4">
        <v>13</v>
      </c>
      <c r="B14" s="3" t="s">
        <v>32</v>
      </c>
      <c r="C14" s="3">
        <v>617</v>
      </c>
      <c r="E14" s="3">
        <v>754</v>
      </c>
      <c r="F14" s="3">
        <v>439</v>
      </c>
    </row>
    <row r="15" spans="1:6" ht="16.5" thickBot="1" x14ac:dyDescent="0.3">
      <c r="A15" s="4">
        <v>14</v>
      </c>
      <c r="B15" s="3" t="s">
        <v>31</v>
      </c>
      <c r="C15" s="3">
        <v>239</v>
      </c>
      <c r="E15" s="3">
        <v>731</v>
      </c>
      <c r="F15" s="3">
        <v>752</v>
      </c>
    </row>
    <row r="16" spans="1:6" ht="16.5" thickBot="1" x14ac:dyDescent="0.3">
      <c r="A16" s="4">
        <v>15</v>
      </c>
      <c r="B16" s="3" t="s">
        <v>33</v>
      </c>
      <c r="C16" s="3">
        <v>984</v>
      </c>
      <c r="E16" s="3">
        <v>438</v>
      </c>
      <c r="F16" s="3">
        <v>450</v>
      </c>
    </row>
    <row r="17" spans="1:6" ht="16.5" thickBot="1" x14ac:dyDescent="0.3">
      <c r="A17" s="4">
        <v>16</v>
      </c>
      <c r="B17" s="3" t="s">
        <v>30</v>
      </c>
      <c r="C17" s="3">
        <v>575</v>
      </c>
      <c r="E17" s="3">
        <v>887</v>
      </c>
      <c r="F17" s="3">
        <v>853</v>
      </c>
    </row>
    <row r="18" spans="1:6" ht="16.5" thickBot="1" x14ac:dyDescent="0.3">
      <c r="A18" s="4">
        <v>17</v>
      </c>
      <c r="B18" s="3" t="s">
        <v>28</v>
      </c>
      <c r="C18" s="3">
        <v>600</v>
      </c>
      <c r="F18" s="3">
        <v>569</v>
      </c>
    </row>
    <row r="19" spans="1:6" ht="16.5" thickBot="1" x14ac:dyDescent="0.3">
      <c r="A19" s="4">
        <v>18</v>
      </c>
      <c r="B19" s="3" t="s">
        <v>32</v>
      </c>
      <c r="C19" s="3">
        <v>439</v>
      </c>
      <c r="F19" s="3">
        <v>613</v>
      </c>
    </row>
    <row r="20" spans="1:6" ht="16.5" thickBot="1" x14ac:dyDescent="0.3">
      <c r="A20" s="4">
        <v>19</v>
      </c>
      <c r="B20" s="3" t="s">
        <v>29</v>
      </c>
      <c r="C20" s="3">
        <v>752</v>
      </c>
      <c r="F20" s="3">
        <v>647</v>
      </c>
    </row>
    <row r="21" spans="1:6" ht="16.5" thickBot="1" x14ac:dyDescent="0.3">
      <c r="A21" s="4">
        <v>20</v>
      </c>
      <c r="B21" s="3" t="s">
        <v>27</v>
      </c>
      <c r="C21" s="3">
        <v>450</v>
      </c>
      <c r="F21" s="3">
        <v>538</v>
      </c>
    </row>
    <row r="22" spans="1:6" ht="16.5" thickBot="1" x14ac:dyDescent="0.3">
      <c r="A22" s="4">
        <v>21</v>
      </c>
      <c r="B22" s="3" t="s">
        <v>33</v>
      </c>
      <c r="C22" s="3">
        <v>459</v>
      </c>
      <c r="F22" s="3">
        <v>673</v>
      </c>
    </row>
    <row r="23" spans="1:6" ht="16.5" thickBot="1" x14ac:dyDescent="0.3">
      <c r="A23" s="4">
        <v>22</v>
      </c>
      <c r="B23" s="3" t="s">
        <v>31</v>
      </c>
      <c r="C23" s="3">
        <v>851</v>
      </c>
      <c r="F23" s="3">
        <v>385</v>
      </c>
    </row>
    <row r="24" spans="1:6" ht="16.5" thickBot="1" x14ac:dyDescent="0.3">
      <c r="A24" s="4">
        <v>23</v>
      </c>
      <c r="B24" s="3" t="s">
        <v>30</v>
      </c>
      <c r="C24" s="3">
        <v>853</v>
      </c>
      <c r="F24" s="3">
        <v>476</v>
      </c>
    </row>
    <row r="25" spans="1:6" ht="16.5" thickBot="1" x14ac:dyDescent="0.3">
      <c r="A25" s="4">
        <v>24</v>
      </c>
      <c r="B25" s="3" t="s">
        <v>32</v>
      </c>
      <c r="C25" s="3">
        <v>569</v>
      </c>
      <c r="F25" s="3">
        <v>441</v>
      </c>
    </row>
    <row r="26" spans="1:6" ht="16.5" thickBot="1" x14ac:dyDescent="0.3">
      <c r="A26" s="4">
        <v>25</v>
      </c>
      <c r="B26" s="3" t="s">
        <v>33</v>
      </c>
      <c r="C26" s="3">
        <v>865</v>
      </c>
      <c r="F26" s="3">
        <v>549</v>
      </c>
    </row>
    <row r="27" spans="1:6" ht="16.5" thickBot="1" x14ac:dyDescent="0.3">
      <c r="A27" s="3">
        <v>26</v>
      </c>
      <c r="B27" s="3" t="s">
        <v>27</v>
      </c>
      <c r="C27" s="3">
        <v>613</v>
      </c>
      <c r="F27" s="3">
        <v>424</v>
      </c>
    </row>
    <row r="28" spans="1:6" ht="16.5" thickBot="1" x14ac:dyDescent="0.3">
      <c r="A28" s="3">
        <v>27</v>
      </c>
      <c r="B28" s="3" t="s">
        <v>29</v>
      </c>
      <c r="C28" s="3">
        <v>647</v>
      </c>
      <c r="F28" s="3">
        <v>574</v>
      </c>
    </row>
    <row r="29" spans="1:6" ht="16.5" thickBot="1" x14ac:dyDescent="0.3">
      <c r="A29" s="3">
        <v>28</v>
      </c>
      <c r="B29" s="3" t="s">
        <v>30</v>
      </c>
      <c r="C29" s="3">
        <v>538</v>
      </c>
      <c r="F29" s="3">
        <v>571</v>
      </c>
    </row>
    <row r="30" spans="1:6" ht="16.5" thickBot="1" x14ac:dyDescent="0.3">
      <c r="A30" s="3">
        <v>29</v>
      </c>
      <c r="B30" s="3" t="s">
        <v>31</v>
      </c>
      <c r="C30" s="3">
        <v>455</v>
      </c>
      <c r="F30" s="3">
        <v>710</v>
      </c>
    </row>
    <row r="31" spans="1:6" ht="16.5" thickBot="1" x14ac:dyDescent="0.3">
      <c r="A31" s="3">
        <v>30</v>
      </c>
      <c r="B31" s="3" t="s">
        <v>30</v>
      </c>
      <c r="C31" s="3">
        <v>673</v>
      </c>
      <c r="F31" s="3">
        <v>590</v>
      </c>
    </row>
    <row r="32" spans="1:6" ht="16.5" thickBot="1" x14ac:dyDescent="0.3">
      <c r="A32" s="3">
        <v>31</v>
      </c>
      <c r="B32" s="3" t="s">
        <v>33</v>
      </c>
      <c r="C32" s="3">
        <v>374</v>
      </c>
      <c r="F32" s="3">
        <v>571</v>
      </c>
    </row>
    <row r="33" spans="1:6" ht="16.5" thickBot="1" x14ac:dyDescent="0.3">
      <c r="A33" s="3">
        <v>32</v>
      </c>
      <c r="B33" s="3" t="s">
        <v>29</v>
      </c>
      <c r="C33" s="3">
        <v>385</v>
      </c>
      <c r="F33" s="3">
        <v>699</v>
      </c>
    </row>
    <row r="34" spans="1:6" ht="16.5" thickBot="1" x14ac:dyDescent="0.3">
      <c r="A34" s="3">
        <v>33</v>
      </c>
      <c r="B34" s="3" t="s">
        <v>32</v>
      </c>
      <c r="C34" s="3">
        <v>476</v>
      </c>
      <c r="F34" s="3">
        <v>459</v>
      </c>
    </row>
    <row r="35" spans="1:6" ht="16.5" thickBot="1" x14ac:dyDescent="0.3">
      <c r="A35" s="3">
        <v>34</v>
      </c>
      <c r="B35" s="3" t="s">
        <v>33</v>
      </c>
      <c r="C35" s="3">
        <v>304</v>
      </c>
      <c r="F35" s="3">
        <v>508</v>
      </c>
    </row>
    <row r="36" spans="1:6" ht="16.5" thickBot="1" x14ac:dyDescent="0.3">
      <c r="A36" s="3">
        <v>35</v>
      </c>
      <c r="B36" s="3" t="s">
        <v>27</v>
      </c>
      <c r="C36" s="3">
        <v>441</v>
      </c>
    </row>
    <row r="37" spans="1:6" ht="16.5" thickBot="1" x14ac:dyDescent="0.3">
      <c r="A37" s="3">
        <v>36</v>
      </c>
      <c r="B37" s="3" t="s">
        <v>29</v>
      </c>
      <c r="C37" s="3">
        <v>549</v>
      </c>
      <c r="E37">
        <f>AVERAGE(E2:E17)</f>
        <v>626.3125</v>
      </c>
      <c r="F37">
        <f>AVERAGE(F2:F35)</f>
        <v>572.52941176470586</v>
      </c>
    </row>
    <row r="38" spans="1:6" ht="16.5" thickBot="1" x14ac:dyDescent="0.3">
      <c r="A38" s="3">
        <v>37</v>
      </c>
      <c r="B38" s="3" t="s">
        <v>32</v>
      </c>
      <c r="C38" s="3">
        <v>424</v>
      </c>
    </row>
    <row r="39" spans="1:6" ht="16.5" thickBot="1" x14ac:dyDescent="0.3">
      <c r="A39" s="3">
        <v>38</v>
      </c>
      <c r="B39" s="3" t="s">
        <v>31</v>
      </c>
      <c r="C39" s="3">
        <v>638</v>
      </c>
    </row>
    <row r="40" spans="1:6" ht="16.5" thickBot="1" x14ac:dyDescent="0.3">
      <c r="A40" s="3">
        <v>39</v>
      </c>
      <c r="B40" s="3" t="s">
        <v>30</v>
      </c>
      <c r="C40" s="3">
        <v>574</v>
      </c>
    </row>
    <row r="41" spans="1:6" ht="16.5" thickBot="1" x14ac:dyDescent="0.3">
      <c r="A41" s="3">
        <v>40</v>
      </c>
      <c r="B41" s="3" t="s">
        <v>33</v>
      </c>
      <c r="C41" s="3">
        <v>754</v>
      </c>
    </row>
    <row r="42" spans="1:6" ht="16.5" thickBot="1" x14ac:dyDescent="0.3">
      <c r="A42" s="3">
        <v>41</v>
      </c>
      <c r="B42" s="3" t="s">
        <v>28</v>
      </c>
      <c r="C42" s="3">
        <v>571</v>
      </c>
    </row>
    <row r="43" spans="1:6" ht="16.5" thickBot="1" x14ac:dyDescent="0.3">
      <c r="A43" s="3">
        <v>42</v>
      </c>
      <c r="B43" s="3" t="s">
        <v>31</v>
      </c>
      <c r="C43" s="3">
        <v>731</v>
      </c>
    </row>
    <row r="44" spans="1:6" ht="16.5" thickBot="1" x14ac:dyDescent="0.3">
      <c r="A44" s="3">
        <v>43</v>
      </c>
      <c r="B44" s="3" t="s">
        <v>27</v>
      </c>
      <c r="C44" s="3">
        <v>710</v>
      </c>
    </row>
    <row r="45" spans="1:6" ht="16.5" thickBot="1" x14ac:dyDescent="0.3">
      <c r="A45" s="3">
        <v>44</v>
      </c>
      <c r="B45" s="3" t="s">
        <v>29</v>
      </c>
      <c r="C45" s="3">
        <v>590</v>
      </c>
    </row>
    <row r="46" spans="1:6" ht="16.5" thickBot="1" x14ac:dyDescent="0.3">
      <c r="A46" s="3">
        <v>45</v>
      </c>
      <c r="B46" s="3" t="s">
        <v>30</v>
      </c>
      <c r="C46" s="3">
        <v>571</v>
      </c>
    </row>
    <row r="47" spans="1:6" ht="16.5" thickBot="1" x14ac:dyDescent="0.3">
      <c r="A47" s="3">
        <v>46</v>
      </c>
      <c r="B47" s="3" t="s">
        <v>28</v>
      </c>
      <c r="C47" s="3">
        <v>699</v>
      </c>
    </row>
    <row r="48" spans="1:6" ht="16.5" thickBot="1" x14ac:dyDescent="0.3">
      <c r="A48" s="3">
        <v>47</v>
      </c>
      <c r="B48" s="3" t="s">
        <v>33</v>
      </c>
      <c r="C48" s="3">
        <v>438</v>
      </c>
    </row>
    <row r="49" spans="1:3" ht="16.5" thickBot="1" x14ac:dyDescent="0.3">
      <c r="A49" s="3">
        <v>48</v>
      </c>
      <c r="B49" s="3" t="s">
        <v>30</v>
      </c>
      <c r="C49" s="3">
        <v>459</v>
      </c>
    </row>
    <row r="50" spans="1:3" ht="16.5" thickBot="1" x14ac:dyDescent="0.3">
      <c r="A50" s="3">
        <v>49</v>
      </c>
      <c r="B50" s="3" t="s">
        <v>31</v>
      </c>
      <c r="C50" s="3">
        <v>887</v>
      </c>
    </row>
    <row r="51" spans="1:3" ht="16.5" thickBot="1" x14ac:dyDescent="0.3">
      <c r="A51" s="3">
        <v>50</v>
      </c>
      <c r="B51" s="3" t="s">
        <v>32</v>
      </c>
      <c r="C51" s="3">
        <v>508</v>
      </c>
    </row>
  </sheetData>
  <autoFilter ref="A1:C51" xr:uid="{61B513A1-760E-4C86-8FD2-D9672D5BF98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Confidence Interval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XLRI VIL</dc:creator>
  <cp:lastModifiedBy>XLRI VIL</cp:lastModifiedBy>
  <dcterms:created xsi:type="dcterms:W3CDTF">2025-05-29T13:31:49Z</dcterms:created>
  <dcterms:modified xsi:type="dcterms:W3CDTF">2025-05-29T16:05:07Z</dcterms:modified>
</cp:coreProperties>
</file>